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XV09117\Desktop\"/>
    </mc:Choice>
  </mc:AlternateContent>
  <bookViews>
    <workbookView xWindow="120" yWindow="120" windowWidth="24915" windowHeight="12075"/>
  </bookViews>
  <sheets>
    <sheet name="Dienstplan" sheetId="2" r:id="rId1"/>
    <sheet name="Dropdown" sheetId="3" r:id="rId2"/>
  </sheets>
  <calcPr calcId="162913"/>
</workbook>
</file>

<file path=xl/calcChain.xml><?xml version="1.0" encoding="utf-8"?>
<calcChain xmlns="http://schemas.openxmlformats.org/spreadsheetml/2006/main">
  <c r="J7" i="2" l="1"/>
  <c r="I7" i="2"/>
  <c r="G7" i="2"/>
  <c r="K7" i="2" s="1"/>
  <c r="H7" i="2"/>
  <c r="V7" i="2"/>
  <c r="U7" i="2"/>
  <c r="T7" i="2" l="1"/>
  <c r="S7" i="2"/>
  <c r="P7" i="2"/>
  <c r="Q7" i="2"/>
  <c r="R7" i="2" l="1"/>
</calcChain>
</file>

<file path=xl/sharedStrings.xml><?xml version="1.0" encoding="utf-8"?>
<sst xmlns="http://schemas.openxmlformats.org/spreadsheetml/2006/main" count="65" uniqueCount="60">
  <si>
    <t>*Abteilung</t>
  </si>
  <si>
    <t>*Datum/Uhrzeit Von (jjjjmmddhhmm)</t>
  </si>
  <si>
    <t>Datum/Uhrzeit Bis (jjjjmmddhhmm)</t>
  </si>
  <si>
    <t>*Dienstart</t>
  </si>
  <si>
    <t>*Thema</t>
  </si>
  <si>
    <t>*Ebene (O, G, K, B, L)</t>
  </si>
  <si>
    <t>*Kategorie (D, E)</t>
  </si>
  <si>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</si>
  <si>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</si>
  <si>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</si>
  <si>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</si>
  <si>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</si>
  <si>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</si>
  <si>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</si>
  <si>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</si>
  <si>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</si>
  <si>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</si>
  <si>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</si>
  <si>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</si>
  <si>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</si>
  <si>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10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</si>
  <si>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</si>
  <si>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</si>
  <si>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</si>
  <si>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</si>
  <si>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</si>
  <si>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</si>
  <si>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</si>
  <si>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</si>
  <si>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</si>
  <si>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</si>
  <si>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</si>
  <si>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</si>
  <si>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</si>
  <si>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</si>
  <si>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</si>
  <si>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</si>
  <si>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</si>
  <si>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</si>
  <si>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</si>
  <si>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</si>
  <si>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</si>
  <si>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</si>
  <si>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</si>
  <si>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</si>
  <si>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</si>
  <si>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</si>
  <si>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</si>
  <si>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</si>
  <si>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</si>
  <si>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</si>
  <si>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</si>
  <si>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</si>
  <si>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</si>
  <si>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</si>
  <si>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</si>
  <si>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</si>
  <si>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</si>
  <si>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</si>
  <si>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Retten Löschen Bergen Schützen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</si>
</sst>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0" borderId="0" xfId="0" applyNumberFormat="1" applyFill="1" applyAlignme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2</xdr:col>
          <xdr:colOff>723900</xdr:colOff>
          <xdr:row>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66675</xdr:rowOff>
        </xdr:from>
        <xdr:to>
          <xdr:col>5</xdr:col>
          <xdr:colOff>781050</xdr:colOff>
          <xdr:row>4</xdr:row>
          <xdr:rowOff>28575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V7" totalsRowShown="0">
  <autoFilter ref="A6:V7"/>
  <tableColumns count="22">
    <tableColumn id="15" name="Abteilung"/>
    <tableColumn id="3" name="TagVon" dataDxfId="30"/>
    <tableColumn id="2" name="MonatVon" dataDxfId="29"/>
    <tableColumn id="1" name="JahrVon" dataDxfId="28"/>
    <tableColumn id="4" name="StundeVon" dataDxfId="27"/>
    <tableColumn id="13" name="MinuteVon" dataDxfId="26"/>
    <tableColumn id="7" name="TagBis" dataDxfId="25">
      <calculatedColumnFormula>Tabelle2[TagVon]</calculatedColumnFormula>
    </tableColumn>
    <tableColumn id="6" name="MonatBis" dataDxfId="24">
      <calculatedColumnFormula>Tabelle2[MonatVon]</calculatedColumnFormula>
    </tableColumn>
    <tableColumn id="5" name="JahrBis" dataDxfId="23">
      <calculatedColumnFormula>Tabelle2[StundeVon]</calculatedColumnFormula>
    </tableColumn>
    <tableColumn id="8" name="StundeBis" dataDxfId="22">
      <calculatedColumnFormula>Tabelle2[MinuteVon]</calculatedColumnFormula>
    </tableColumn>
    <tableColumn id="14" name="MinuteBis" dataDxfId="21">
      <calculatedColumnFormula>Tabelle2[TagBis]</calculatedColumnFormula>
    </tableColumn>
    <tableColumn id="18" name="Dienstart" dataDxfId="20"/>
    <tableColumn id="19" name="Thema" dataDxfId="19"/>
    <tableColumn id="22" name="Ebene"/>
    <tableColumn id="23" name="Kategorie"/>
    <tableColumn id="24" name="*Abteilung" dataDxfId="18">
      <calculatedColumnFormula>Tabelle2[[#This Row],[Abteilung]]</calculatedColumnFormula>
    </tableColumn>
    <tableColumn id="16" name="*Datum/Uhrzeit Von (jjjjmmddhhmm)" dataDxfId="17">
      <calculatedColumnFormula>Tabelle2[[#This Row],[JahrVon]]&amp;Tabelle2[[#This Row],[MonatVon]]&amp;Tabelle2[[#This Row],[TagVon]]&amp;Tabelle2[[#This Row],[StundeVon]]&amp;Tabelle2[[#This Row],[MinuteVon]]</calculatedColumnFormula>
    </tableColumn>
    <tableColumn id="17" name="Datum/Uhrzeit Bis (jjjjmmddhhmm)" dataDxfId="16">
      <calculatedColumnFormula>Tabelle2[[#This Row],[JahrBis]]&amp;Tabelle2[[#This Row],[MonatBis]]&amp;Tabelle2[[#This Row],[TagBis]]&amp;Tabelle2[[#This Row],[StundeBis]]&amp;Tabelle2[[#This Row],[MinuteBis]]</calculatedColumnFormula>
    </tableColumn>
    <tableColumn id="20" name="*Dienstart" dataDxfId="15">
      <calculatedColumnFormula>Tabelle2[[#This Row],[Dienstart]]</calculatedColumnFormula>
    </tableColumn>
    <tableColumn id="21" name="*Thema" dataDxfId="14">
      <calculatedColumnFormula>Tabelle2[[#This Row],[Thema]]</calculatedColumnFormula>
    </tableColumn>
    <tableColumn id="25" name="*Ebene (O, G, K, B, L)" dataDxfId="13">
      <calculatedColumnFormula>_xlfn.IFNA(VLOOKUP(Tabelle2[[#This Row],[Ebene]],Tabelle3[#All],2,FALSE),"FEHLER")</calculatedColumnFormula>
    </tableColumn>
    <tableColumn id="26" name="*Kategorie (D, E)" dataDxfId="12">
      <calculatedColumnFormula>_xlfn.IFNA(VLOOKUP(Tabelle2[[#This Row],[Kategorie]],Tabelle4[#All],2,FALSE),"FEHLER")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41" dataDxfId="40" tableBorderDxfId="39">
  <autoFilter ref="A1:A15"/>
  <sortState ref="A2:A78">
    <sortCondition ref="A1:A78"/>
  </sortState>
  <tableColumns count="1">
    <tableColumn id="1" name="Abteilung" dataDxfId="3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6" dataDxfId="5" headerRowBorderDxfId="3" tableBorderDxfId="4" totalsRowBorderDxfId="2">
  <autoFilter ref="C1:D6"/>
  <tableColumns count="2">
    <tableColumn id="1" name="*Ebene" dataDxfId="1"/>
    <tableColumn id="2" name="(O, G, K, B, L)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37" dataDxfId="35" headerRowBorderDxfId="36" tableBorderDxfId="34" totalsRowBorderDxfId="33">
  <autoFilter ref="C13:D15"/>
  <tableColumns count="2">
    <tableColumn id="1" name="*Kategorie " dataDxfId="32"/>
    <tableColumn id="2" name="(D, E)" dataDxfId="3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W11"/>
  <sheetViews>
    <sheetView tabSelected="1" workbookViewId="0">
      <selection activeCell="F15" sqref="F15"/>
    </sheetView>
  </sheetViews>
  <sheetFormatPr baseColWidth="10" defaultRowHeight="15" x14ac:dyDescent="0.25"/>
  <cols>
    <col min="1" max="1" width="18.140625" bestFit="1" customWidth="1"/>
    <col min="2" max="2" width="9.85546875" bestFit="1" customWidth="1"/>
    <col min="3" max="3" width="12.7109375" style="1" bestFit="1" customWidth="1"/>
    <col min="4" max="4" width="10.42578125" style="1" bestFit="1" customWidth="1"/>
    <col min="5" max="5" width="13.140625" style="1" bestFit="1" customWidth="1"/>
    <col min="6" max="6" width="13.42578125" bestFit="1" customWidth="1"/>
    <col min="7" max="7" width="8.85546875" bestFit="1" customWidth="1"/>
    <col min="8" max="8" width="11.7109375" bestFit="1" customWidth="1"/>
    <col min="9" max="9" width="9.42578125" style="1" bestFit="1" customWidth="1"/>
    <col min="10" max="10" width="12.140625" bestFit="1" customWidth="1"/>
    <col min="11" max="11" width="12.42578125" style="1" bestFit="1" customWidth="1"/>
    <col min="12" max="12" width="34.5703125" style="2" customWidth="1"/>
    <col min="13" max="13" width="32.140625" style="1" customWidth="1"/>
    <col min="14" max="14" width="10.28515625" bestFit="1" customWidth="1"/>
    <col min="15" max="15" width="18.85546875" bestFit="1" customWidth="1"/>
    <col min="16" max="16" width="18.140625" hidden="1" customWidth="1"/>
    <col min="17" max="17" width="37.7109375" style="1" hidden="1" customWidth="1"/>
    <col min="18" max="18" width="35.7109375" style="2" hidden="1" customWidth="1"/>
    <col min="19" max="19" width="12.42578125" hidden="1" customWidth="1"/>
    <col min="20" max="20" width="10.28515625" hidden="1" customWidth="1"/>
    <col min="21" max="21" width="21.85546875" style="1" hidden="1" customWidth="1"/>
    <col min="22" max="22" width="18" style="1" hidden="1" customWidth="1"/>
    <col min="23" max="23" width="21.85546875" style="1" bestFit="1" customWidth="1"/>
    <col min="24" max="24" width="18" bestFit="1" customWidth="1"/>
    <col min="25" max="25" width="35.7109375" bestFit="1" customWidth="1"/>
    <col min="26" max="26" width="19.7109375" bestFit="1" customWidth="1"/>
    <col min="27" max="27" width="28.28515625" bestFit="1" customWidth="1"/>
    <col min="28" max="28" width="21.85546875" bestFit="1" customWidth="1"/>
    <col min="29" max="30" width="18" bestFit="1" customWidth="1"/>
  </cols>
  <sheetData>
    <row r="1" spans="1:23" x14ac:dyDescent="0.25"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3" x14ac:dyDescent="0.25"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3" x14ac:dyDescent="0.25"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23" x14ac:dyDescent="0.25"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6" spans="1:23" x14ac:dyDescent="0.25">
      <c r="A6" t="s">
        <v>24</v>
      </c>
      <c r="B6" s="1" t="s">
        <v>13</v>
      </c>
      <c r="C6" s="1" t="s">
        <v>12</v>
      </c>
      <c r="D6" s="1" t="s">
        <v>11</v>
      </c>
      <c r="E6" s="1" t="s">
        <v>14</v>
      </c>
      <c r="F6" s="1" t="s">
        <v>22</v>
      </c>
      <c r="G6" s="2" t="s">
        <v>17</v>
      </c>
      <c r="H6" s="2" t="s">
        <v>16</v>
      </c>
      <c r="I6" s="1" t="s">
        <v>15</v>
      </c>
      <c r="J6" s="1" t="s">
        <v>18</v>
      </c>
      <c r="K6" s="1" t="s">
        <v>23</v>
      </c>
      <c r="L6" t="s">
        <v>56</v>
      </c>
      <c r="M6" t="s">
        <v>57</v>
      </c>
      <c r="N6" t="s">
        <v>54</v>
      </c>
      <c r="O6" t="s">
        <v>55</v>
      </c>
      <c r="P6" t="s">
        <v>0</v>
      </c>
      <c r="Q6" t="s">
        <v>1</v>
      </c>
      <c r="R6" t="s">
        <v>2</v>
      </c>
      <c r="S6" t="s">
        <v>3</v>
      </c>
      <c r="T6" t="s">
        <v>4</v>
      </c>
      <c r="U6" t="s">
        <v>5</v>
      </c>
      <c r="V6" t="s">
        <v>6</v>
      </c>
    </row>
    <row r="7" spans="1:23" x14ac:dyDescent="0.25">
      <c r="A7" t="s">
        <v>7</v>
      </c>
      <c r="B7" s="1" t="s">
        <v>19</v>
      </c>
      <c r="C7" s="1" t="s">
        <v>20</v>
      </c>
      <c r="D7" s="1" t="s">
        <v>58</v>
      </c>
      <c r="E7" s="1" t="s">
        <v>19</v>
      </c>
      <c r="F7" s="1" t="s">
        <v>21</v>
      </c>
      <c r="G7" s="2" t="str">
        <f>Tabelle2[TagVon]</f>
        <v>18</v>
      </c>
      <c r="H7" s="2" t="str">
        <f>Tabelle2[MonatVon]</f>
        <v>10</v>
      </c>
      <c r="I7" s="2" t="str">
        <f>Tabelle2[StundeVon]</f>
        <v>18</v>
      </c>
      <c r="J7" s="2" t="str">
        <f>Tabelle2[MinuteVon]</f>
        <v>00</v>
      </c>
      <c r="K7" s="2" t="str">
        <f>Tabelle2[TagBis]</f>
        <v>18</v>
      </c>
      <c r="L7" s="1" t="s">
        <v>8</v>
      </c>
      <c r="M7" s="1" t="s">
        <v>59</v>
      </c>
      <c r="N7" t="s">
        <v>43</v>
      </c>
      <c r="O7" t="s">
        <v>52</v>
      </c>
      <c r="P7" t="str">
        <f>Tabelle2[[#This Row],[Abteilung]]</f>
        <v>Einsatzabteilung FF</v>
      </c>
      <c r="Q7" t="str">
        <f>Tabelle2[[#This Row],[JahrVon]]&amp;Tabelle2[[#This Row],[MonatVon]]&amp;Tabelle2[[#This Row],[TagVon]]&amp;Tabelle2[[#This Row],[StundeVon]]&amp;Tabelle2[[#This Row],[MinuteVon]]</f>
        <v>201710181800</v>
      </c>
      <c r="R7" t="str">
        <f>Tabelle2[[#This Row],[JahrBis]]&amp;Tabelle2[[#This Row],[MonatBis]]&amp;Tabelle2[[#This Row],[TagBis]]&amp;Tabelle2[[#This Row],[StundeBis]]&amp;Tabelle2[[#This Row],[MinuteBis]]</f>
        <v>1810180018</v>
      </c>
      <c r="S7" t="str">
        <f>Tabelle2[[#This Row],[Dienstart]]</f>
        <v>Aus- und Fortbildung</v>
      </c>
      <c r="T7" t="str">
        <f>Tabelle2[[#This Row],[Thema]]</f>
        <v>Retten Löschen Bergen Schützen</v>
      </c>
      <c r="U7" t="str">
        <f>_xlfn.IFNA(VLOOKUP(Tabelle2[[#This Row],[Ebene]],Tabelle3[#All],2,FALSE),"FEHLER")</f>
        <v>O</v>
      </c>
      <c r="V7" t="str">
        <f>_xlfn.IFNA(VLOOKUP(Tabelle2[[#This Row],[Kategorie]],Tabelle4[#All],2,FALSE),"FEHLER")</f>
        <v>D</v>
      </c>
      <c r="W7"/>
    </row>
    <row r="8" spans="1:23" x14ac:dyDescent="0.25">
      <c r="B8" s="1"/>
      <c r="F8" s="1"/>
      <c r="G8" s="1"/>
      <c r="H8" s="1"/>
      <c r="J8" s="1"/>
      <c r="L8" s="1"/>
      <c r="P8" s="2"/>
      <c r="Q8" s="2"/>
      <c r="S8" s="2"/>
      <c r="T8" s="2"/>
      <c r="U8" s="2"/>
      <c r="V8"/>
    </row>
    <row r="9" spans="1:23" x14ac:dyDescent="0.25">
      <c r="B9" s="1"/>
      <c r="F9" s="1"/>
      <c r="G9" s="1"/>
      <c r="H9" s="1"/>
      <c r="J9" s="1"/>
      <c r="L9" s="1"/>
      <c r="P9" s="2"/>
      <c r="Q9" s="2"/>
      <c r="S9" s="2"/>
      <c r="T9" s="2"/>
      <c r="U9" s="2"/>
      <c r="V9"/>
    </row>
    <row r="10" spans="1:23" x14ac:dyDescent="0.25">
      <c r="B10" s="1"/>
      <c r="F10" s="1"/>
      <c r="G10" s="1"/>
      <c r="H10" s="1"/>
      <c r="J10" s="1"/>
      <c r="L10" s="1"/>
      <c r="P10" s="2"/>
      <c r="Q10" s="2"/>
      <c r="S10" s="2"/>
      <c r="T10" s="2"/>
      <c r="U10" s="2"/>
      <c r="V10"/>
    </row>
    <row r="11" spans="1:23" x14ac:dyDescent="0.25">
      <c r="B11" s="1"/>
      <c r="F11" s="1"/>
      <c r="G11" s="1"/>
      <c r="H11" s="1"/>
      <c r="J11" s="1"/>
      <c r="L11" s="1"/>
      <c r="P11" s="2"/>
      <c r="Q11" s="2"/>
      <c r="S11" s="2"/>
      <c r="T11" s="2"/>
      <c r="U11" s="2"/>
      <c r="V11"/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2</xdr:col>
                    <xdr:colOff>723900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66675</xdr:rowOff>
                  </from>
                  <to>
                    <xdr:col>5</xdr:col>
                    <xdr:colOff>781050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4" operator="notContains" id="{C27106E4-0B50-454F-963B-ECC1F0A02663}">
            <xm:f>ISERROR(SEARCH($A7,A7))</xm:f>
            <xm:f>$A7</xm:f>
            <x14:dxf>
              <fill>
                <patternFill>
                  <bgColor rgb="FFFF0000"/>
                </patternFill>
              </fill>
            </x14:dxf>
          </x14:cfRule>
          <xm:sqref>A7</xm:sqref>
        </x14:conditionalFormatting>
        <x14:conditionalFormatting xmlns:xm="http://schemas.microsoft.com/office/excel/2006/main">
          <x14:cfRule type="notContainsText" priority="3" operator="notContains" id="{6D17D44E-DE36-49C5-9C58-C370A9794B99}">
            <xm:f>ISERROR(SEARCH(B7,B7))</xm:f>
            <xm:f>B7</xm:f>
            <x14:dxf>
              <fill>
                <patternFill>
                  <bgColor rgb="FFFF0000"/>
                </patternFill>
              </fill>
            </x14:dxf>
          </x14:cfRule>
          <xm:sqref>B7:M7</xm:sqref>
        </x14:conditionalFormatting>
        <x14:conditionalFormatting xmlns:xm="http://schemas.microsoft.com/office/excel/2006/main">
          <x14:cfRule type="notContainsText" priority="2" operator="notContains" id="{90E10DFA-FEDC-4B0F-BB43-0DF30BA4E135}">
            <xm:f>ISERROR(SEARCH($N7,N7))</xm:f>
            <xm:f>$N7</xm:f>
            <x14:dxf>
              <fill>
                <patternFill>
                  <bgColor rgb="FFFF0000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notContainsText" priority="1" operator="notContains" id="{C1876187-DC3B-428C-BFB5-8E9998DD7E23}">
            <xm:f>ISERROR(SEARCH($O7,O7))</xm:f>
            <xm:f>$O7</xm:f>
            <x14:dxf>
              <fill>
                <patternFill>
                  <bgColor rgb="FFFF0000"/>
                </patternFill>
              </fill>
            </x14:dxf>
          </x14:cfRule>
          <xm:sqref>O7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77"/>
  <sheetViews>
    <sheetView workbookViewId="0">
      <selection activeCell="E19" sqref="A1:E19"/>
    </sheetView>
  </sheetViews>
  <sheetFormatPr baseColWidth="10" defaultRowHeight="15" x14ac:dyDescent="0.25"/>
  <cols>
    <col min="1" max="1" width="21.7109375" style="5" bestFit="1" customWidth="1"/>
    <col min="2" max="2" width="11.42578125" style="5"/>
    <col min="3" max="3" width="21.85546875" style="5" bestFit="1" customWidth="1"/>
    <col min="4" max="4" width="21.85546875" style="5" customWidth="1"/>
    <col min="5" max="6" width="11.42578125" style="5"/>
    <col min="7" max="7" width="21.85546875" style="5" bestFit="1" customWidth="1"/>
    <col min="8" max="16384" width="11.42578125" style="5"/>
  </cols>
  <sheetData>
    <row r="1" spans="1:7" ht="15.75" thickBot="1" x14ac:dyDescent="0.3">
      <c r="A1" s="4" t="s">
        <v>24</v>
      </c>
      <c r="C1" s="6" t="s">
        <v>48</v>
      </c>
      <c r="D1" s="9" t="s">
        <v>49</v>
      </c>
    </row>
    <row r="2" spans="1:7" ht="15.75" thickTop="1" x14ac:dyDescent="0.25">
      <c r="A2" s="7" t="s">
        <v>27</v>
      </c>
      <c r="C2" s="3" t="s">
        <v>43</v>
      </c>
      <c r="D2" s="8" t="s">
        <v>10</v>
      </c>
    </row>
    <row r="3" spans="1:7" x14ac:dyDescent="0.25">
      <c r="A3" s="7" t="s">
        <v>30</v>
      </c>
      <c r="C3" s="3" t="s">
        <v>44</v>
      </c>
      <c r="D3" s="8" t="s">
        <v>38</v>
      </c>
    </row>
    <row r="4" spans="1:7" x14ac:dyDescent="0.25">
      <c r="A4" s="7" t="s">
        <v>7</v>
      </c>
      <c r="C4" s="3" t="s">
        <v>45</v>
      </c>
      <c r="D4" s="8" t="s">
        <v>39</v>
      </c>
      <c r="G4" s="3"/>
    </row>
    <row r="5" spans="1:7" x14ac:dyDescent="0.25">
      <c r="A5" s="7" t="s">
        <v>25</v>
      </c>
      <c r="C5" s="3" t="s">
        <v>46</v>
      </c>
      <c r="D5" s="8" t="s">
        <v>40</v>
      </c>
      <c r="G5" s="3"/>
    </row>
    <row r="6" spans="1:7" x14ac:dyDescent="0.25">
      <c r="A6" s="7" t="s">
        <v>26</v>
      </c>
      <c r="C6" s="3" t="s">
        <v>47</v>
      </c>
      <c r="D6" s="8" t="s">
        <v>41</v>
      </c>
      <c r="G6" s="3"/>
    </row>
    <row r="7" spans="1:7" x14ac:dyDescent="0.25">
      <c r="A7" s="7" t="s">
        <v>31</v>
      </c>
      <c r="C7" s="3"/>
      <c r="D7" s="3"/>
      <c r="G7" s="3"/>
    </row>
    <row r="8" spans="1:7" x14ac:dyDescent="0.25">
      <c r="A8" s="7" t="s">
        <v>32</v>
      </c>
      <c r="C8" s="3"/>
      <c r="D8" s="3"/>
      <c r="G8" s="3"/>
    </row>
    <row r="9" spans="1:7" x14ac:dyDescent="0.25">
      <c r="A9" s="7" t="s">
        <v>33</v>
      </c>
      <c r="C9" s="3"/>
      <c r="D9" s="3"/>
      <c r="G9" s="3"/>
    </row>
    <row r="10" spans="1:7" x14ac:dyDescent="0.25">
      <c r="A10" s="7" t="s">
        <v>34</v>
      </c>
      <c r="C10" s="3"/>
      <c r="D10" s="3"/>
      <c r="G10" s="3"/>
    </row>
    <row r="11" spans="1:7" x14ac:dyDescent="0.25">
      <c r="A11" s="7" t="s">
        <v>35</v>
      </c>
      <c r="C11" s="3"/>
      <c r="D11" s="3"/>
      <c r="G11" s="3"/>
    </row>
    <row r="12" spans="1:7" x14ac:dyDescent="0.25">
      <c r="A12" s="7" t="s">
        <v>36</v>
      </c>
    </row>
    <row r="13" spans="1:7" ht="15.75" thickBot="1" x14ac:dyDescent="0.3">
      <c r="A13" s="7" t="s">
        <v>37</v>
      </c>
      <c r="C13" s="6" t="s">
        <v>50</v>
      </c>
      <c r="D13" s="9" t="s">
        <v>51</v>
      </c>
    </row>
    <row r="14" spans="1:7" ht="15.75" thickTop="1" x14ac:dyDescent="0.25">
      <c r="A14" s="7" t="s">
        <v>28</v>
      </c>
      <c r="C14" s="3" t="s">
        <v>52</v>
      </c>
      <c r="D14" s="8" t="s">
        <v>42</v>
      </c>
    </row>
    <row r="15" spans="1:7" x14ac:dyDescent="0.25">
      <c r="A15" s="7" t="s">
        <v>29</v>
      </c>
      <c r="C15" s="3" t="s">
        <v>53</v>
      </c>
      <c r="D15" s="8" t="s">
        <v>9</v>
      </c>
    </row>
    <row r="16" spans="1:7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4"/>
    </row>
    <row r="49" spans="1:1" x14ac:dyDescent="0.25">
      <c r="A49" s="7"/>
    </row>
    <row r="50" spans="1:1" x14ac:dyDescent="0.25">
      <c r="A50" s="4"/>
    </row>
    <row r="52" spans="1:1" x14ac:dyDescent="0.25">
      <c r="A52" s="7"/>
    </row>
    <row r="53" spans="1:1" x14ac:dyDescent="0.25">
      <c r="A53" s="4"/>
    </row>
    <row r="55" spans="1:1" x14ac:dyDescent="0.25">
      <c r="A55" s="7"/>
    </row>
    <row r="56" spans="1:1" x14ac:dyDescent="0.25">
      <c r="A56" s="4"/>
    </row>
    <row r="58" spans="1:1" x14ac:dyDescent="0.25">
      <c r="A58" s="7"/>
    </row>
    <row r="59" spans="1:1" x14ac:dyDescent="0.25">
      <c r="A59" s="4"/>
    </row>
    <row r="61" spans="1:1" x14ac:dyDescent="0.25">
      <c r="A61" s="7"/>
    </row>
    <row r="62" spans="1:1" x14ac:dyDescent="0.25">
      <c r="A62" s="4"/>
    </row>
    <row r="64" spans="1:1" x14ac:dyDescent="0.25">
      <c r="A64" s="7"/>
    </row>
    <row r="65" spans="1:1" x14ac:dyDescent="0.25">
      <c r="A65" s="4"/>
    </row>
    <row r="67" spans="1:1" x14ac:dyDescent="0.25">
      <c r="A67" s="7"/>
    </row>
    <row r="68" spans="1:1" x14ac:dyDescent="0.25">
      <c r="A68" s="4"/>
    </row>
    <row r="70" spans="1:1" x14ac:dyDescent="0.25">
      <c r="A70" s="7"/>
    </row>
    <row r="71" spans="1:1" x14ac:dyDescent="0.25">
      <c r="A71" s="4"/>
    </row>
    <row r="73" spans="1:1" x14ac:dyDescent="0.25">
      <c r="A73" s="7"/>
    </row>
    <row r="74" spans="1:1" x14ac:dyDescent="0.25">
      <c r="A74" s="4"/>
    </row>
    <row r="76" spans="1:1" x14ac:dyDescent="0.25">
      <c r="A76" s="7"/>
    </row>
    <row r="77" spans="1:1" x14ac:dyDescent="0.25">
      <c r="A77" s="4"/>
    </row>
  </sheetData>
  <sheetProtection sheet="1" objects="1" scenarios="1"/>
  <conditionalFormatting sqref="C14:D15">
    <cfRule type="duplicateValues" dxfId="7" priority="1"/>
  </conditionalFormatting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Cuccu, Vincent</cp:lastModifiedBy>
  <dcterms:created xsi:type="dcterms:W3CDTF">2017-09-13T08:17:55Z</dcterms:created>
  <dcterms:modified xsi:type="dcterms:W3CDTF">2017-11-02T12:26:40Z</dcterms:modified>
</cp:coreProperties>
</file>